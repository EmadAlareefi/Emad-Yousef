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7175" windowHeight="6165"/>
  </bookViews>
  <sheets>
    <sheet name="ورقة1" sheetId="1" r:id="rId1"/>
    <sheet name="ورقة2" sheetId="2" r:id="rId2"/>
    <sheet name="ورقة3" sheetId="3" r:id="rId3"/>
  </sheets>
  <calcPr calcId="124519"/>
</workbook>
</file>

<file path=xl/calcChain.xml><?xml version="1.0" encoding="utf-8"?>
<calcChain xmlns="http://schemas.openxmlformats.org/spreadsheetml/2006/main">
  <c r="G21" i="1"/>
  <c r="G20"/>
  <c r="G19"/>
  <c r="G18"/>
  <c r="G17"/>
  <c r="G10"/>
  <c r="G9"/>
  <c r="G8"/>
  <c r="G7"/>
  <c r="G6"/>
  <c r="H6" s="1"/>
  <c r="G22" l="1"/>
  <c r="H7"/>
  <c r="H8" s="1"/>
  <c r="H9" s="1"/>
  <c r="H10" s="1"/>
  <c r="H11" s="1"/>
  <c r="F25" l="1"/>
</calcChain>
</file>

<file path=xl/sharedStrings.xml><?xml version="1.0" encoding="utf-8"?>
<sst xmlns="http://schemas.openxmlformats.org/spreadsheetml/2006/main" count="22" uniqueCount="19">
  <si>
    <t>Economic Feasibility</t>
  </si>
  <si>
    <t>Payback period</t>
  </si>
  <si>
    <t>Tangible Benefits</t>
  </si>
  <si>
    <t>Compounding</t>
  </si>
  <si>
    <t>Years</t>
  </si>
  <si>
    <t>cost avoidance</t>
  </si>
  <si>
    <t>Error reduction</t>
  </si>
  <si>
    <t>increased speed of activity</t>
  </si>
  <si>
    <t>increased flexibility</t>
  </si>
  <si>
    <t>Total</t>
  </si>
  <si>
    <t>Costs</t>
  </si>
  <si>
    <t>One-time Costs</t>
  </si>
  <si>
    <t>Recurring Costs</t>
  </si>
  <si>
    <t>New hardware</t>
  </si>
  <si>
    <t>New software</t>
  </si>
  <si>
    <t>software maintenance</t>
  </si>
  <si>
    <t>Supplies</t>
  </si>
  <si>
    <t>Total of cost</t>
  </si>
  <si>
    <t>Payback period=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</si>
</sst>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67" formatCode="[$ر.ي.‏-2401]\ #,##0.00_-"/>
    <numFmt numFmtId="168" formatCode="[$ر.ي.‏-2401]\ #,##0_-"/>
    <numFmt numFmtId="169" formatCode="_-[$ر.ي.‏-2401]\ * #,##0.00_-;_-[$ر.ي.‏-2401]\ * #,##0.00\-;_-[$ر.ي.‏-2401]\ 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20"/>
      <name val="Arial"/>
      <family val="2"/>
    </font>
    <font>
      <u/>
      <sz val="10"/>
      <color indexed="12"/>
      <name val="Arial"/>
      <charset val="178"/>
    </font>
    <font>
      <b/>
      <sz val="18"/>
      <color indexed="12"/>
      <name val="Arial"/>
      <family val="2"/>
    </font>
    <font>
      <b/>
      <sz val="10"/>
      <name val="Arial"/>
      <family val="2"/>
    </font>
    <font>
      <b/>
      <u/>
      <sz val="14"/>
      <name val="Tahoma"/>
      <family val="2"/>
    </font>
    <font>
      <b/>
      <sz val="10"/>
      <name val="Tahoma"/>
      <family val="2"/>
    </font>
    <font>
      <b/>
      <i/>
      <sz val="10"/>
      <name val="Arial"/>
      <family val="2"/>
    </font>
    <font>
      <sz val="10"/>
      <name val="Tahoma"/>
      <family val="2"/>
    </font>
    <font>
      <b/>
      <sz val="16"/>
      <name val="Tahoma"/>
      <family val="2"/>
    </font>
    <font>
      <sz val="18"/>
      <color indexed="12"/>
      <name val="Arial"/>
      <charset val="178"/>
    </font>
    <font>
      <b/>
      <sz val="24"/>
      <name val="Arial"/>
      <family val="2"/>
    </font>
    <font>
      <sz val="18"/>
      <name val="Arial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2" fontId="0" fillId="0" borderId="1" xfId="0" applyNumberFormat="1" applyBorder="1"/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4" fillId="2" borderId="5" xfId="2" applyFont="1" applyFill="1" applyBorder="1" applyAlignment="1" applyProtection="1">
      <alignment horizontal="center"/>
    </xf>
    <xf numFmtId="2" fontId="5" fillId="0" borderId="6" xfId="0" applyNumberFormat="1" applyFont="1" applyBorder="1"/>
    <xf numFmtId="2" fontId="5" fillId="0" borderId="7" xfId="0" applyNumberFormat="1" applyFont="1" applyBorder="1"/>
    <xf numFmtId="2" fontId="0" fillId="0" borderId="8" xfId="0" applyNumberFormat="1" applyBorder="1"/>
    <xf numFmtId="2" fontId="0" fillId="0" borderId="2" xfId="0" applyNumberFormat="1" applyBorder="1"/>
    <xf numFmtId="2" fontId="6" fillId="3" borderId="9" xfId="0" applyNumberFormat="1" applyFont="1" applyFill="1" applyBorder="1" applyAlignment="1">
      <alignment horizontal="center"/>
    </xf>
    <xf numFmtId="2" fontId="6" fillId="3" borderId="10" xfId="0" applyNumberFormat="1" applyFont="1" applyFill="1" applyBorder="1" applyAlignment="1">
      <alignment horizontal="center"/>
    </xf>
    <xf numFmtId="2" fontId="6" fillId="3" borderId="11" xfId="0" applyNumberFormat="1" applyFont="1" applyFill="1" applyBorder="1" applyAlignment="1">
      <alignment horizontal="center"/>
    </xf>
    <xf numFmtId="2" fontId="5" fillId="4" borderId="12" xfId="0" applyNumberFormat="1" applyFont="1" applyFill="1" applyBorder="1" applyAlignment="1">
      <alignment horizontal="center"/>
    </xf>
    <xf numFmtId="2" fontId="0" fillId="0" borderId="4" xfId="0" applyNumberFormat="1" applyBorder="1"/>
    <xf numFmtId="2" fontId="7" fillId="4" borderId="13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2" fontId="5" fillId="4" borderId="14" xfId="0" applyNumberFormat="1" applyFont="1" applyFill="1" applyBorder="1" applyAlignment="1">
      <alignment horizontal="center"/>
    </xf>
    <xf numFmtId="1" fontId="5" fillId="5" borderId="13" xfId="0" applyNumberFormat="1" applyFont="1" applyFill="1" applyBorder="1" applyAlignment="1">
      <alignment horizontal="center"/>
    </xf>
    <xf numFmtId="2" fontId="0" fillId="0" borderId="17" xfId="0" applyNumberFormat="1" applyBorder="1"/>
    <xf numFmtId="2" fontId="10" fillId="3" borderId="18" xfId="0" applyNumberFormat="1" applyFont="1" applyFill="1" applyBorder="1" applyAlignment="1">
      <alignment horizontal="center"/>
    </xf>
    <xf numFmtId="2" fontId="10" fillId="3" borderId="19" xfId="0" applyNumberFormat="1" applyFont="1" applyFill="1" applyBorder="1" applyAlignment="1">
      <alignment horizontal="center"/>
    </xf>
    <xf numFmtId="2" fontId="10" fillId="3" borderId="20" xfId="0" applyNumberFormat="1" applyFont="1" applyFill="1" applyBorder="1" applyAlignment="1">
      <alignment horizontal="center"/>
    </xf>
    <xf numFmtId="2" fontId="7" fillId="4" borderId="21" xfId="0" applyNumberFormat="1" applyFont="1" applyFill="1" applyBorder="1" applyAlignment="1">
      <alignment horizontal="center"/>
    </xf>
    <xf numFmtId="2" fontId="7" fillId="4" borderId="2" xfId="0" applyNumberFormat="1" applyFont="1" applyFill="1" applyBorder="1" applyAlignment="1">
      <alignment horizontal="center"/>
    </xf>
    <xf numFmtId="2" fontId="7" fillId="4" borderId="4" xfId="0" applyNumberFormat="1" applyFont="1" applyFill="1" applyBorder="1" applyAlignment="1">
      <alignment horizontal="center"/>
    </xf>
    <xf numFmtId="2" fontId="8" fillId="4" borderId="22" xfId="0" applyNumberFormat="1" applyFont="1" applyFill="1" applyBorder="1" applyAlignment="1">
      <alignment horizontal="center"/>
    </xf>
    <xf numFmtId="2" fontId="7" fillId="4" borderId="23" xfId="0" applyNumberFormat="1" applyFont="1" applyFill="1" applyBorder="1" applyAlignment="1">
      <alignment horizontal="center"/>
    </xf>
    <xf numFmtId="2" fontId="8" fillId="4" borderId="14" xfId="0" applyNumberFormat="1" applyFont="1" applyFill="1" applyBorder="1" applyAlignment="1">
      <alignment horizontal="center"/>
    </xf>
    <xf numFmtId="2" fontId="8" fillId="4" borderId="24" xfId="0" applyNumberFormat="1" applyFont="1" applyFill="1" applyBorder="1" applyAlignment="1">
      <alignment horizontal="right"/>
    </xf>
    <xf numFmtId="2" fontId="8" fillId="4" borderId="25" xfId="0" applyNumberFormat="1" applyFont="1" applyFill="1" applyBorder="1" applyAlignment="1">
      <alignment horizontal="right"/>
    </xf>
    <xf numFmtId="2" fontId="8" fillId="4" borderId="26" xfId="0" applyNumberFormat="1" applyFont="1" applyFill="1" applyBorder="1" applyAlignment="1">
      <alignment horizontal="right"/>
    </xf>
    <xf numFmtId="2" fontId="0" fillId="0" borderId="28" xfId="0" applyNumberFormat="1" applyBorder="1"/>
    <xf numFmtId="0" fontId="11" fillId="2" borderId="9" xfId="2" applyFont="1" applyFill="1" applyBorder="1" applyAlignment="1" applyProtection="1">
      <alignment horizontal="center"/>
    </xf>
    <xf numFmtId="2" fontId="12" fillId="2" borderId="29" xfId="0" applyNumberFormat="1" applyFont="1" applyFill="1" applyBorder="1" applyAlignment="1">
      <alignment horizontal="left"/>
    </xf>
    <xf numFmtId="2" fontId="13" fillId="2" borderId="30" xfId="0" applyNumberFormat="1" applyFont="1" applyFill="1" applyBorder="1"/>
    <xf numFmtId="2" fontId="12" fillId="2" borderId="31" xfId="0" applyNumberFormat="1" applyFont="1" applyFill="1" applyBorder="1" applyAlignment="1">
      <alignment horizontal="left"/>
    </xf>
    <xf numFmtId="167" fontId="5" fillId="4" borderId="16" xfId="0" applyNumberFormat="1" applyFont="1" applyFill="1" applyBorder="1" applyAlignment="1">
      <alignment horizontal="right"/>
    </xf>
    <xf numFmtId="167" fontId="5" fillId="4" borderId="3" xfId="0" applyNumberFormat="1" applyFont="1" applyFill="1" applyBorder="1" applyAlignment="1">
      <alignment horizontal="right"/>
    </xf>
    <xf numFmtId="167" fontId="5" fillId="4" borderId="4" xfId="0" applyNumberFormat="1" applyFont="1" applyFill="1" applyBorder="1" applyAlignment="1">
      <alignment horizontal="right"/>
    </xf>
    <xf numFmtId="3" fontId="5" fillId="5" borderId="13" xfId="0" applyNumberFormat="1" applyFont="1" applyFill="1" applyBorder="1" applyAlignment="1">
      <alignment horizontal="center"/>
    </xf>
    <xf numFmtId="168" fontId="9" fillId="0" borderId="1" xfId="1" applyNumberFormat="1" applyFont="1" applyBorder="1" applyAlignment="1">
      <alignment horizontal="center"/>
    </xf>
    <xf numFmtId="168" fontId="0" fillId="5" borderId="1" xfId="1" applyNumberFormat="1" applyFont="1" applyFill="1" applyBorder="1"/>
    <xf numFmtId="168" fontId="0" fillId="5" borderId="15" xfId="0" applyNumberFormat="1" applyFill="1" applyBorder="1"/>
    <xf numFmtId="168" fontId="0" fillId="6" borderId="15" xfId="0" applyNumberFormat="1" applyFill="1" applyBorder="1"/>
    <xf numFmtId="168" fontId="0" fillId="6" borderId="1" xfId="1" applyNumberFormat="1" applyFont="1" applyFill="1" applyBorder="1"/>
    <xf numFmtId="168" fontId="0" fillId="7" borderId="15" xfId="0" applyNumberFormat="1" applyFill="1" applyBorder="1"/>
    <xf numFmtId="168" fontId="0" fillId="5" borderId="15" xfId="1" applyNumberFormat="1" applyFont="1" applyFill="1" applyBorder="1"/>
    <xf numFmtId="169" fontId="0" fillId="2" borderId="27" xfId="0" applyNumberFormat="1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27"/>
  <sheetViews>
    <sheetView tabSelected="1" workbookViewId="0">
      <selection activeCell="E20" sqref="E20"/>
    </sheetView>
  </sheetViews>
  <sheetFormatPr defaultRowHeight="15"/>
  <cols>
    <col min="1" max="1" width="9.140625" style="1"/>
    <col min="2" max="2" width="8.85546875" style="1" bestFit="1" customWidth="1"/>
    <col min="3" max="3" width="15.28515625" style="1" bestFit="1" customWidth="1"/>
    <col min="4" max="4" width="15.42578125" style="1" bestFit="1" customWidth="1"/>
    <col min="5" max="5" width="28" style="1" bestFit="1" customWidth="1"/>
    <col min="6" max="6" width="19.140625" style="1" bestFit="1" customWidth="1"/>
    <col min="7" max="7" width="17.42578125" style="1" bestFit="1" customWidth="1"/>
    <col min="8" max="8" width="16.5703125" style="1" bestFit="1" customWidth="1"/>
    <col min="9" max="16384" width="9.140625" style="1"/>
  </cols>
  <sheetData>
    <row r="2" spans="1:9" ht="25.5">
      <c r="B2" s="2" t="s">
        <v>0</v>
      </c>
      <c r="C2" s="3"/>
      <c r="D2" s="3"/>
      <c r="E2" s="3"/>
      <c r="F2" s="3"/>
      <c r="G2" s="4"/>
    </row>
    <row r="3" spans="1:9" ht="24" thickBot="1">
      <c r="B3" s="5" t="s">
        <v>1</v>
      </c>
      <c r="C3" s="6"/>
      <c r="D3" s="6"/>
      <c r="E3" s="6"/>
      <c r="F3" s="6"/>
      <c r="G3" s="7"/>
      <c r="H3" s="8"/>
    </row>
    <row r="4" spans="1:9" ht="18.75" thickTop="1">
      <c r="A4" s="9"/>
      <c r="B4" s="10" t="s">
        <v>2</v>
      </c>
      <c r="C4" s="11"/>
      <c r="D4" s="11"/>
      <c r="E4" s="11"/>
      <c r="F4" s="11"/>
      <c r="G4" s="12"/>
      <c r="H4" s="13" t="s">
        <v>3</v>
      </c>
      <c r="I4" s="14"/>
    </row>
    <row r="5" spans="1:9">
      <c r="A5" s="9"/>
      <c r="B5" s="15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7" t="s">
        <v>9</v>
      </c>
      <c r="H5" s="18"/>
      <c r="I5" s="14"/>
    </row>
    <row r="6" spans="1:9">
      <c r="A6" s="9"/>
      <c r="B6" s="41">
        <v>1</v>
      </c>
      <c r="C6" s="42">
        <v>0</v>
      </c>
      <c r="D6" s="42">
        <v>0</v>
      </c>
      <c r="E6" s="42">
        <v>0</v>
      </c>
      <c r="F6" s="42">
        <v>960000</v>
      </c>
      <c r="G6" s="43">
        <f>C6+D6+E6+F6</f>
        <v>960000</v>
      </c>
      <c r="H6" s="44">
        <f>G6</f>
        <v>960000</v>
      </c>
      <c r="I6" s="14"/>
    </row>
    <row r="7" spans="1:9">
      <c r="A7" s="9"/>
      <c r="B7" s="41">
        <v>2</v>
      </c>
      <c r="C7" s="42">
        <v>0</v>
      </c>
      <c r="D7" s="42">
        <v>0</v>
      </c>
      <c r="E7" s="42">
        <v>0</v>
      </c>
      <c r="F7" s="42">
        <v>960000</v>
      </c>
      <c r="G7" s="43">
        <f>C7+D7+E7+F7</f>
        <v>960000</v>
      </c>
      <c r="H7" s="44">
        <f>H6+G7</f>
        <v>1920000</v>
      </c>
      <c r="I7" s="14"/>
    </row>
    <row r="8" spans="1:9">
      <c r="A8" s="9"/>
      <c r="B8" s="41">
        <v>3</v>
      </c>
      <c r="C8" s="42">
        <v>0</v>
      </c>
      <c r="D8" s="42">
        <v>0</v>
      </c>
      <c r="E8" s="42">
        <v>0</v>
      </c>
      <c r="F8" s="42">
        <v>960000</v>
      </c>
      <c r="G8" s="43">
        <f>C8+D8+E8+F8</f>
        <v>960000</v>
      </c>
      <c r="H8" s="45">
        <f>H7+G8</f>
        <v>2880000</v>
      </c>
      <c r="I8" s="14"/>
    </row>
    <row r="9" spans="1:9">
      <c r="A9" s="9"/>
      <c r="B9" s="41">
        <v>4</v>
      </c>
      <c r="C9" s="42">
        <v>0</v>
      </c>
      <c r="D9" s="42">
        <v>0</v>
      </c>
      <c r="E9" s="42">
        <v>0</v>
      </c>
      <c r="F9" s="42">
        <v>960000</v>
      </c>
      <c r="G9" s="46">
        <f>C9+D9+E9+F9</f>
        <v>960000</v>
      </c>
      <c r="H9" s="44">
        <f>H8+G9</f>
        <v>3840000</v>
      </c>
      <c r="I9" s="14"/>
    </row>
    <row r="10" spans="1:9">
      <c r="A10" s="9"/>
      <c r="B10" s="41">
        <v>5</v>
      </c>
      <c r="C10" s="42">
        <v>0</v>
      </c>
      <c r="D10" s="42">
        <v>0</v>
      </c>
      <c r="E10" s="42">
        <v>0</v>
      </c>
      <c r="F10" s="42">
        <v>960000</v>
      </c>
      <c r="G10" s="43">
        <f>C10+D10+E10+F10</f>
        <v>960000</v>
      </c>
      <c r="H10" s="44">
        <f>H9+G10</f>
        <v>4800000</v>
      </c>
      <c r="I10" s="14"/>
    </row>
    <row r="11" spans="1:9">
      <c r="A11" s="9"/>
      <c r="B11" s="38" t="s">
        <v>9</v>
      </c>
      <c r="C11" s="39"/>
      <c r="D11" s="39"/>
      <c r="E11" s="39"/>
      <c r="F11" s="39"/>
      <c r="G11" s="40"/>
      <c r="H11" s="47">
        <f>H6+H7+H8+H9+H10+G10</f>
        <v>15360000</v>
      </c>
      <c r="I11" s="14"/>
    </row>
    <row r="12" spans="1:9">
      <c r="B12" s="20"/>
      <c r="C12" s="20"/>
      <c r="D12" s="20"/>
      <c r="E12" s="20"/>
      <c r="F12" s="20"/>
      <c r="G12" s="20"/>
      <c r="H12" s="20"/>
    </row>
    <row r="13" spans="1:9" ht="15.75" thickBot="1">
      <c r="B13" s="8"/>
      <c r="C13" s="8"/>
      <c r="D13" s="8"/>
      <c r="E13" s="8"/>
      <c r="F13" s="8"/>
      <c r="G13" s="8"/>
    </row>
    <row r="14" spans="1:9" ht="20.25" thickTop="1">
      <c r="A14" s="9"/>
      <c r="B14" s="21" t="s">
        <v>10</v>
      </c>
      <c r="C14" s="22"/>
      <c r="D14" s="22"/>
      <c r="E14" s="22"/>
      <c r="F14" s="22"/>
      <c r="G14" s="23"/>
      <c r="H14" s="14"/>
    </row>
    <row r="15" spans="1:9">
      <c r="A15" s="9"/>
      <c r="B15" s="24" t="s">
        <v>4</v>
      </c>
      <c r="C15" s="25" t="s">
        <v>11</v>
      </c>
      <c r="D15" s="26"/>
      <c r="E15" s="25" t="s">
        <v>12</v>
      </c>
      <c r="F15" s="26"/>
      <c r="G15" s="27" t="s">
        <v>9</v>
      </c>
      <c r="H15" s="14"/>
    </row>
    <row r="16" spans="1:9">
      <c r="A16" s="9"/>
      <c r="B16" s="28"/>
      <c r="C16" s="16" t="s">
        <v>13</v>
      </c>
      <c r="D16" s="16" t="s">
        <v>14</v>
      </c>
      <c r="E16" s="16" t="s">
        <v>15</v>
      </c>
      <c r="F16" s="16" t="s">
        <v>16</v>
      </c>
      <c r="G16" s="29"/>
      <c r="H16" s="14"/>
    </row>
    <row r="17" spans="1:8">
      <c r="A17" s="9"/>
      <c r="B17" s="19">
        <v>1</v>
      </c>
      <c r="C17" s="42">
        <v>0</v>
      </c>
      <c r="D17" s="42">
        <v>0</v>
      </c>
      <c r="E17" s="42">
        <v>300000</v>
      </c>
      <c r="F17" s="42">
        <v>48000</v>
      </c>
      <c r="G17" s="48">
        <f>C17+D17+E17+F17</f>
        <v>348000</v>
      </c>
      <c r="H17" s="14"/>
    </row>
    <row r="18" spans="1:8">
      <c r="A18" s="9"/>
      <c r="B18" s="19">
        <v>2</v>
      </c>
      <c r="C18" s="42"/>
      <c r="D18" s="42"/>
      <c r="E18" s="42">
        <v>300000</v>
      </c>
      <c r="F18" s="42">
        <v>48000</v>
      </c>
      <c r="G18" s="48">
        <f>C18+D18+E18+F18</f>
        <v>348000</v>
      </c>
      <c r="H18" s="14"/>
    </row>
    <row r="19" spans="1:8">
      <c r="A19" s="9"/>
      <c r="B19" s="19">
        <v>3</v>
      </c>
      <c r="C19" s="42"/>
      <c r="D19" s="42"/>
      <c r="E19" s="42">
        <v>300000</v>
      </c>
      <c r="F19" s="42">
        <v>48000</v>
      </c>
      <c r="G19" s="48">
        <f>C19+D19+E19+F19</f>
        <v>348000</v>
      </c>
      <c r="H19" s="14"/>
    </row>
    <row r="20" spans="1:8">
      <c r="A20" s="9"/>
      <c r="B20" s="19">
        <v>4</v>
      </c>
      <c r="C20" s="42"/>
      <c r="D20" s="42"/>
      <c r="E20" s="42">
        <v>300000</v>
      </c>
      <c r="F20" s="42">
        <v>48000</v>
      </c>
      <c r="G20" s="48">
        <f>C20+D20+E20+F20</f>
        <v>348000</v>
      </c>
      <c r="H20" s="14"/>
    </row>
    <row r="21" spans="1:8">
      <c r="A21" s="9"/>
      <c r="B21" s="19">
        <v>5</v>
      </c>
      <c r="C21" s="42"/>
      <c r="D21" s="42"/>
      <c r="E21" s="42">
        <v>300000</v>
      </c>
      <c r="F21" s="42">
        <v>48000</v>
      </c>
      <c r="G21" s="48">
        <f>C21+D21+E21+F21</f>
        <v>348000</v>
      </c>
      <c r="H21" s="14"/>
    </row>
    <row r="22" spans="1:8" ht="15.75" thickBot="1">
      <c r="A22" s="9"/>
      <c r="B22" s="30" t="s">
        <v>17</v>
      </c>
      <c r="C22" s="31"/>
      <c r="D22" s="31"/>
      <c r="E22" s="31"/>
      <c r="F22" s="32"/>
      <c r="G22" s="49">
        <f>G17+G18+G19+G20+G21</f>
        <v>1740000</v>
      </c>
      <c r="H22" s="14"/>
    </row>
    <row r="23" spans="1:8" ht="15.75" thickTop="1">
      <c r="B23" s="20"/>
      <c r="C23" s="20"/>
      <c r="D23" s="20"/>
      <c r="E23" s="20"/>
      <c r="F23" s="20"/>
      <c r="G23" s="20"/>
    </row>
    <row r="24" spans="1:8" ht="15.75" thickBot="1">
      <c r="B24" s="8"/>
      <c r="C24" s="8"/>
      <c r="D24" s="8"/>
      <c r="E24" s="8"/>
      <c r="F24" s="33"/>
    </row>
    <row r="25" spans="1:8" ht="15.75" thickTop="1">
      <c r="A25" s="9"/>
      <c r="B25" s="8"/>
      <c r="C25" s="8"/>
      <c r="D25" s="8"/>
      <c r="E25" s="34" t="s">
        <v>18</v>
      </c>
      <c r="F25" s="35">
        <f>3+((G22-H8)/G9)</f>
        <v>1.8125</v>
      </c>
      <c r="G25" s="14"/>
    </row>
    <row r="26" spans="1:8" ht="15.75" thickBot="1">
      <c r="A26" s="9"/>
      <c r="B26" s="8"/>
      <c r="C26" s="8"/>
      <c r="D26" s="8"/>
      <c r="E26" s="36"/>
      <c r="F26" s="37"/>
      <c r="G26" s="14"/>
    </row>
    <row r="27" spans="1:8" ht="15.75" thickTop="1">
      <c r="B27" s="20"/>
      <c r="C27" s="20"/>
      <c r="D27" s="20"/>
      <c r="E27" s="20"/>
      <c r="F27" s="20"/>
    </row>
  </sheetData>
  <mergeCells count="13">
    <mergeCell ref="B15:B16"/>
    <mergeCell ref="C15:D15"/>
    <mergeCell ref="E15:F15"/>
    <mergeCell ref="G15:G16"/>
    <mergeCell ref="B22:F22"/>
    <mergeCell ref="E25:E26"/>
    <mergeCell ref="F25:F26"/>
    <mergeCell ref="B2:G2"/>
    <mergeCell ref="B3:G3"/>
    <mergeCell ref="B4:G4"/>
    <mergeCell ref="H4:H5"/>
    <mergeCell ref="B11:G11"/>
    <mergeCell ref="B14:G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Yousef_ Alnaham</dc:creator>
  <cp:lastModifiedBy>Yousef_ Alnaham</cp:lastModifiedBy>
  <dcterms:created xsi:type="dcterms:W3CDTF">2015-12-21T19:39:18Z</dcterms:created>
  <dcterms:modified xsi:type="dcterms:W3CDTF">2015-12-22T00:04:50Z</dcterms:modified>
</cp:coreProperties>
</file>